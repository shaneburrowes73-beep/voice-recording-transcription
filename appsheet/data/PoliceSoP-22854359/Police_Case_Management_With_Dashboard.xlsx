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  <sheet state="visible" name="SLA Tracker" sheetId="2" r:id="rId6"/>
    <sheet state="visible" name="Audit Log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<sst xmlns="http://schemas.openxmlformats.org/spreadsheetml/2006/main" count="56" uniqueCount="49">
  <si>
    <t>ID</t>
  </si>
  <si>
    <t>Case ID</t>
  </si>
  <si>
    <t>Status</t>
  </si>
  <si>
    <t>Officer Name</t>
  </si>
  <si>
    <t>Badge Number</t>
  </si>
  <si>
    <t>Unit</t>
  </si>
  <si>
    <t>Incident Date</t>
  </si>
  <si>
    <t>Incident Time</t>
  </si>
  <si>
    <t>Arrival Time</t>
  </si>
  <si>
    <t>Location</t>
  </si>
  <si>
    <t>Incident Type</t>
  </si>
  <si>
    <t>Priority</t>
  </si>
  <si>
    <t>Reporting Party</t>
  </si>
  <si>
    <t>Suspect(s)</t>
  </si>
  <si>
    <t>Witness(es)</t>
  </si>
  <si>
    <t>Observations</t>
  </si>
  <si>
    <t>Statement Summary</t>
  </si>
  <si>
    <t>Actions Taken</t>
  </si>
  <si>
    <t>Evidence</t>
  </si>
  <si>
    <t>Findings</t>
  </si>
  <si>
    <t>Next Steps</t>
  </si>
  <si>
    <t>Supervisor</t>
  </si>
  <si>
    <t>Approval Status</t>
  </si>
  <si>
    <t>SLA Status</t>
  </si>
  <si>
    <t>Created Timestamp</t>
  </si>
  <si>
    <t>Last Updated</t>
  </si>
  <si>
    <t xml:space="preserve"> </t>
  </si>
  <si>
    <t>Logged Deadline (2h)</t>
  </si>
  <si>
    <t>Acknowledged Deadline (4h)</t>
  </si>
  <si>
    <t>Investigation Deadline (3d)</t>
  </si>
  <si>
    <t>Timestamp</t>
  </si>
  <si>
    <t>Action Taken</t>
  </si>
  <si>
    <t>User</t>
  </si>
  <si>
    <t>Police Case Management Dashboard</t>
  </si>
  <si>
    <t>Status Breakdown</t>
  </si>
  <si>
    <t>Total Cases</t>
  </si>
  <si>
    <t>New</t>
  </si>
  <si>
    <t>Priority Breakdown</t>
  </si>
  <si>
    <t>Open Cases</t>
  </si>
  <si>
    <t>Logged</t>
  </si>
  <si>
    <t>High</t>
  </si>
  <si>
    <t>Closed Cases</t>
  </si>
  <si>
    <t>Acknowledged</t>
  </si>
  <si>
    <t>Medium</t>
  </si>
  <si>
    <t>Overdue Cases</t>
  </si>
  <si>
    <t>Investigating</t>
  </si>
  <si>
    <t>Low</t>
  </si>
  <si>
    <t>Pending Approval</t>
  </si>
  <si>
    <t>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</si>
</sst>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57"/>
    <col customWidth="1" min="2" max="2" width="22.0"/>
    <col customWidth="1" min="3" max="3" width="16.0"/>
    <col customWidth="1" min="4" max="4" width="22.0"/>
    <col customWidth="1" min="5" max="5" width="16.0"/>
    <col customWidth="1" min="6" max="6" width="18.0"/>
    <col customWidth="1" min="7" max="9" width="16.0"/>
    <col customWidth="1" min="10" max="10" width="26.0"/>
    <col customWidth="1" min="11" max="11" width="18.0"/>
    <col customWidth="1" min="12" max="12" width="14.0"/>
    <col customWidth="1" min="13" max="15" width="26.0"/>
    <col customWidth="1" min="16" max="18" width="30.0"/>
    <col customWidth="1" min="19" max="21" width="26.0"/>
    <col customWidth="1" min="22" max="22" width="22.0"/>
    <col customWidth="1" min="23" max="23" width="20.0"/>
    <col customWidth="1" min="24" max="26" width="22.0"/>
    <col customWidth="1" min="27" max="28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</row>
    <row r="2">
      <c r="A2" s="3">
        <v>1.0</v>
      </c>
      <c r="B2" s="4" t="str">
        <f>IF(Y2="","",TEXTJOIN("-",TRUE,"BB",TEXT(Y2,"yyyymmdd"),TEXT(COUNTIF($B$2:B2,"BB-"&amp;TEXT(Y2,"yyyymmdd")&amp;"-*")+1,"0000")))</f>
        <v>BB-18991230-0002</v>
      </c>
      <c r="C2" s="3" t="s">
        <v>26</v>
      </c>
      <c r="Y2" s="4">
        <f>IF(B2&lt;&gt;"",IF(Y2="",NOW(),Y2),"")</f>
        <v>0</v>
      </c>
      <c r="Z2" s="5">
        <f>IF(B2&lt;&gt;"",NOW(),"")</f>
        <v>46146.6981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B2 D2:AB2">
    <cfRule type="notContainsBlanks" dxfId="0" priority="1">
      <formula>LEN(TRIM(A2))&gt;0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6.29"/>
    <col customWidth="1" min="4" max="4" width="23.71"/>
    <col customWidth="1" min="5" max="5" width="18.86"/>
    <col customWidth="1" min="6" max="26" width="8.71"/>
  </cols>
  <sheetData>
    <row r="1">
      <c r="A1" s="2" t="s">
        <v>1</v>
      </c>
      <c r="B1" s="2" t="s">
        <v>27</v>
      </c>
      <c r="C1" s="2" t="s">
        <v>28</v>
      </c>
      <c r="D1" s="2" t="s">
        <v>29</v>
      </c>
      <c r="E1" s="2" t="s">
        <v>23</v>
      </c>
    </row>
    <row r="2">
      <c r="A2" s="4" t="str">
        <f>Cases!B2</f>
        <v>BB-18991230-0002</v>
      </c>
      <c r="B2" s="4">
        <f>IF(Cases!Y2="","",Cases!Y2+2/24)</f>
        <v>0.08333333333</v>
      </c>
      <c r="C2" s="4">
        <f>IF(Cases!Y2="","",Cases!Y2+4/24)</f>
        <v>0.1666666667</v>
      </c>
      <c r="D2" s="4">
        <f>IF(Cases!Y2="","",Cases!Y2+3)</f>
        <v>3</v>
      </c>
      <c r="E2" s="4" t="str">
        <f>IF(#REF!="Closed","Completed",IF(NOW()&gt;D2,"Overdue","On Track"))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7.43"/>
    <col customWidth="1" min="3" max="3" width="29.86"/>
    <col customWidth="1" min="4" max="4" width="26.57"/>
    <col customWidth="1" min="5" max="26" width="8.71"/>
  </cols>
  <sheetData>
    <row r="1">
      <c r="A1" s="2" t="s">
        <v>30</v>
      </c>
      <c r="B1" s="6" t="s">
        <v>1</v>
      </c>
      <c r="C1" s="2" t="s">
        <v>31</v>
      </c>
      <c r="D1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Case ID" location="Cases!A1" ref="B1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2.0"/>
    <col customWidth="1" min="9" max="26" width="8.71"/>
  </cols>
  <sheetData>
    <row r="1">
      <c r="A1" s="2" t="s">
        <v>33</v>
      </c>
      <c r="D1" s="2" t="s">
        <v>34</v>
      </c>
    </row>
    <row r="2">
      <c r="A2" s="2" t="s">
        <v>35</v>
      </c>
      <c r="B2" s="4">
        <f>COUNTA(Cases!B2:B1000)</f>
        <v>1</v>
      </c>
      <c r="D2" s="4" t="s">
        <v>36</v>
      </c>
      <c r="E2" s="4">
        <f>COUNTIF(Cases!C2:C1000,"New")</f>
        <v>0</v>
      </c>
      <c r="G2" s="2" t="s">
        <v>37</v>
      </c>
    </row>
    <row r="3">
      <c r="A3" s="2" t="s">
        <v>38</v>
      </c>
      <c r="B3" s="4">
        <f>COUNTIF(Cases!C2:C1000,"&lt;&gt;Closed")</f>
        <v>999</v>
      </c>
      <c r="D3" s="4" t="s">
        <v>39</v>
      </c>
      <c r="E3" s="4">
        <f>COUNTIF(Cases!C2:C1000,"Logged")</f>
        <v>0</v>
      </c>
      <c r="G3" s="4" t="s">
        <v>40</v>
      </c>
      <c r="H3" s="4">
        <f>COUNTIF(Cases!L2:L1000,"High")</f>
        <v>0</v>
      </c>
    </row>
    <row r="4">
      <c r="A4" s="2" t="s">
        <v>41</v>
      </c>
      <c r="B4" s="4">
        <f>COUNTIF(Cases!C2:C1000,"Closed")</f>
        <v>0</v>
      </c>
      <c r="D4" s="4" t="s">
        <v>42</v>
      </c>
      <c r="E4" s="4">
        <f>COUNTIF(Cases!C2:C1000,"Acknowledged")</f>
        <v>0</v>
      </c>
      <c r="G4" s="4" t="s">
        <v>43</v>
      </c>
      <c r="H4" s="4">
        <f>COUNTIF(Cases!L2:L1000,"Medium")</f>
        <v>0</v>
      </c>
    </row>
    <row r="5">
      <c r="A5" s="2" t="s">
        <v>44</v>
      </c>
      <c r="B5" s="4">
        <f>COUNTIF('SLA Tracker'!E2:E1000,"Overdue")</f>
        <v>0</v>
      </c>
      <c r="D5" s="4" t="s">
        <v>45</v>
      </c>
      <c r="E5" s="4">
        <f>COUNTIF(Cases!C2:C1000,"Investigating")</f>
        <v>0</v>
      </c>
      <c r="G5" s="4" t="s">
        <v>46</v>
      </c>
      <c r="H5" s="4">
        <f>COUNTIF(Cases!L2:L1000,"Low")</f>
        <v>0</v>
      </c>
    </row>
    <row r="6">
      <c r="D6" s="4" t="s">
        <v>47</v>
      </c>
      <c r="E6" s="4">
        <f>COUNTIF(Cases!C2:C1000,"Pending Approval")</f>
        <v>0</v>
      </c>
    </row>
    <row r="8">
      <c r="A8" s="2" t="s">
        <v>1</v>
      </c>
      <c r="B8" s="2" t="s">
        <v>2</v>
      </c>
      <c r="C8" s="2" t="s">
        <v>48</v>
      </c>
      <c r="D8" s="2" t="s">
        <v>11</v>
      </c>
      <c r="E8" s="2" t="s">
        <v>9</v>
      </c>
    </row>
    <row r="9">
      <c r="A9" s="4" t="str">
        <f>IFERROR(__xludf.DUMMYFUNCTION("FILTER(Cases!B2:F1000,'SLA Tracker'!E2:E1000=""Overdue"")"),"#N/A")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